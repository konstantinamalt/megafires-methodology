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CN7wgObLNdEbp2DFmHfYZz+Ob41qYP/nSuBJM2qPaKM="/>
    </ext>
  </extLst>
</workbook>
</file>

<file path=xl/sharedStrings.xml><?xml version="1.0" encoding="utf-8"?>
<sst xmlns="http://schemas.openxmlformats.org/spreadsheetml/2006/main" count="45" uniqueCount="35">
  <si>
    <t>country</t>
  </si>
  <si>
    <t>year</t>
  </si>
  <si>
    <t>Number of fires</t>
  </si>
  <si>
    <t>Fires (% of Italy total)</t>
  </si>
  <si>
    <t>EU Number of fires</t>
  </si>
  <si>
    <t>Italy share of EU fires (%)</t>
  </si>
  <si>
    <t>Burned hectares per year</t>
  </si>
  <si>
    <t>Burned hectares (% of Italy total)</t>
  </si>
  <si>
    <t>EU Burned hectares</t>
  </si>
  <si>
    <t>Italy share of EU burned hectares (%)</t>
  </si>
  <si>
    <t>natural_vegetation_ha</t>
  </si>
  <si>
    <t>% natural vegetation of burned land in Italy per year</t>
  </si>
  <si>
    <t>EU Natural vegetation burned (ha)</t>
  </si>
  <si>
    <t>Italy share of EU natural vegetation burned (%)</t>
  </si>
  <si>
    <t>forests_ha</t>
  </si>
  <si>
    <t>% forests of burned land in Italy per year</t>
  </si>
  <si>
    <t>EU Forests burned (ha)</t>
  </si>
  <si>
    <t>Italy share of EU forests burned (%)</t>
  </si>
  <si>
    <t>agricultural_areas_ha</t>
  </si>
  <si>
    <t>% agriculture of burned land in Italy per year</t>
  </si>
  <si>
    <t>EU Agricultural areas burned (ha)</t>
  </si>
  <si>
    <t>Italy share of EU agricultural areas burned (%)</t>
  </si>
  <si>
    <t>artificial_surfaces_ha</t>
  </si>
  <si>
    <t>% artificial surfaces of burned land in Italy per year</t>
  </si>
  <si>
    <t>EU Artificial surfaces burned (ha)</t>
  </si>
  <si>
    <t>Italy share of EU artificial surfaces burned (%)</t>
  </si>
  <si>
    <t>other_land_cover_ha</t>
  </si>
  <si>
    <t>% other land of burned area in Italy per year</t>
  </si>
  <si>
    <t>EU Other land cover burned (ha)</t>
  </si>
  <si>
    <t>Italy share of EU other land cover burned (%)</t>
  </si>
  <si>
    <t>natura2000_ha</t>
  </si>
  <si>
    <t>% natura of burned land in Italy per year</t>
  </si>
  <si>
    <t>EU Natura 2000 burned (ha)</t>
  </si>
  <si>
    <t>Italy share of EU Natura 2000 burned (%)</t>
  </si>
  <si>
    <t>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</si>
</sst>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5.43"/>
    <col customWidth="1" min="3" max="3" width="14.43"/>
    <col customWidth="1" min="4" max="4" width="19.14"/>
    <col customWidth="1" min="5" max="5" width="17.29"/>
    <col customWidth="1" min="6" max="6" width="22.29"/>
    <col customWidth="1" min="7" max="7" width="22.57"/>
    <col customWidth="1" min="8" max="8" width="29.0"/>
    <col customWidth="1" min="9" max="9" width="17.86"/>
    <col customWidth="1" min="10" max="10" width="32.57"/>
    <col customWidth="1" min="11" max="11" width="20.29"/>
    <col customWidth="1" min="12" max="13" width="30.14"/>
    <col customWidth="1" min="14" max="14" width="40.71"/>
    <col customWidth="1" min="15" max="15" width="10.0"/>
    <col customWidth="1" min="16" max="16" width="21.14"/>
    <col customWidth="1" min="17" max="17" width="20.57"/>
    <col customWidth="1" min="18" max="18" width="31.0"/>
    <col customWidth="1" min="19" max="19" width="19.43"/>
    <col customWidth="1" min="20" max="20" width="29.86"/>
    <col customWidth="1" min="21" max="21" width="29.29"/>
    <col customWidth="1" min="22" max="22" width="39.86"/>
    <col customWidth="1" min="23" max="23" width="19.14"/>
    <col customWidth="1" min="24" max="24" width="29.57"/>
    <col customWidth="1" min="25" max="25" width="29.0"/>
    <col customWidth="1" min="26" max="26" width="39.57"/>
    <col customWidth="1" min="27" max="27" width="19.29"/>
    <col customWidth="1" min="28" max="28" width="29.29"/>
    <col customWidth="1" min="29" max="29" width="28.71"/>
    <col customWidth="1" min="30" max="30" width="39.14"/>
    <col customWidth="1" min="31" max="31" width="14.0"/>
    <col customWidth="1" min="32" max="32" width="25.57"/>
    <col customWidth="1" min="33" max="33" width="25.0"/>
    <col customWidth="1" min="34" max="34" width="35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1" t="s">
        <v>24</v>
      </c>
      <c r="Z1" s="1" t="s">
        <v>25</v>
      </c>
      <c r="AA1" s="1" t="s">
        <v>26</v>
      </c>
      <c r="AB1" s="2" t="s">
        <v>27</v>
      </c>
      <c r="AC1" s="1" t="s">
        <v>28</v>
      </c>
      <c r="AD1" s="1" t="s">
        <v>29</v>
      </c>
      <c r="AE1" s="1" t="s">
        <v>30</v>
      </c>
      <c r="AF1" s="2" t="s">
        <v>31</v>
      </c>
      <c r="AG1" s="1" t="s">
        <v>32</v>
      </c>
      <c r="AH1" s="1" t="s">
        <v>33</v>
      </c>
    </row>
    <row r="2">
      <c r="A2" s="1" t="s">
        <v>34</v>
      </c>
      <c r="B2" s="1">
        <v>2015.0</v>
      </c>
      <c r="C2" s="1">
        <v>64.0</v>
      </c>
      <c r="D2" s="1">
        <v>0.68</v>
      </c>
      <c r="E2" s="1">
        <v>400.0</v>
      </c>
      <c r="F2" s="1">
        <v>16.0</v>
      </c>
      <c r="G2" s="1">
        <v>7689.0</v>
      </c>
      <c r="H2" s="1">
        <v>1.02</v>
      </c>
      <c r="I2" s="1">
        <v>144789.0</v>
      </c>
      <c r="J2" s="1">
        <v>5.31</v>
      </c>
      <c r="K2" s="1">
        <v>5133.52</v>
      </c>
      <c r="L2" s="1">
        <f t="shared" ref="L2:L12" si="1">K2/G2*100</f>
        <v>66.76446872</v>
      </c>
      <c r="M2" s="1">
        <v>104731.6</v>
      </c>
      <c r="N2" s="1">
        <v>4.9</v>
      </c>
      <c r="O2" s="1">
        <v>758.54</v>
      </c>
      <c r="P2" s="1">
        <f t="shared" ref="P2:P12" si="2">O2/G2*100</f>
        <v>9.865262063</v>
      </c>
      <c r="Q2" s="1">
        <v>10145.69</v>
      </c>
      <c r="R2" s="1">
        <v>7.48</v>
      </c>
      <c r="S2" s="1">
        <v>1776.89</v>
      </c>
      <c r="T2" s="1">
        <f t="shared" ref="T2:T12" si="3">S2/G2*100</f>
        <v>23.10950709</v>
      </c>
      <c r="U2" s="1">
        <v>29423.95</v>
      </c>
      <c r="V2" s="1">
        <v>6.04</v>
      </c>
      <c r="W2" s="1">
        <v>20.04</v>
      </c>
      <c r="X2" s="1">
        <f t="shared" ref="X2:X12" si="4">W2/G2*100</f>
        <v>0.2606320718</v>
      </c>
      <c r="Y2" s="1">
        <v>434.5</v>
      </c>
      <c r="Z2" s="1">
        <v>4.61</v>
      </c>
      <c r="AA2" s="1">
        <v>0.0</v>
      </c>
      <c r="AB2" s="1">
        <f t="shared" ref="AB2:AB12" si="5">AA2/G2*100</f>
        <v>0</v>
      </c>
      <c r="AC2" s="1">
        <v>53.3</v>
      </c>
      <c r="AD2" s="1">
        <v>0.0</v>
      </c>
      <c r="AE2" s="1">
        <v>2989.68</v>
      </c>
      <c r="AF2" s="1">
        <f t="shared" ref="AF2:AF12" si="6">AE2/G2*100</f>
        <v>38.8825595</v>
      </c>
      <c r="AG2" s="1">
        <v>31038.95</v>
      </c>
      <c r="AH2" s="1">
        <v>9.63</v>
      </c>
    </row>
    <row r="3">
      <c r="A3" s="1" t="s">
        <v>34</v>
      </c>
      <c r="B3" s="1">
        <v>2016.0</v>
      </c>
      <c r="C3" s="1">
        <v>144.0</v>
      </c>
      <c r="D3" s="1">
        <v>1.53</v>
      </c>
      <c r="E3" s="1">
        <v>719.0</v>
      </c>
      <c r="F3" s="1">
        <v>20.03</v>
      </c>
      <c r="G3" s="1">
        <v>35129.0</v>
      </c>
      <c r="H3" s="1">
        <v>4.64</v>
      </c>
      <c r="I3" s="1">
        <v>315657.0</v>
      </c>
      <c r="J3" s="1">
        <v>11.13</v>
      </c>
      <c r="K3" s="1">
        <v>11187.8</v>
      </c>
      <c r="L3" s="1">
        <f t="shared" si="1"/>
        <v>31.84776111</v>
      </c>
      <c r="M3" s="1">
        <v>235380.39</v>
      </c>
      <c r="N3" s="1">
        <v>4.75</v>
      </c>
      <c r="O3" s="1">
        <v>5048.77</v>
      </c>
      <c r="P3" s="1">
        <f t="shared" si="2"/>
        <v>14.37208574</v>
      </c>
      <c r="Q3" s="1">
        <v>21816.71</v>
      </c>
      <c r="R3" s="1">
        <v>23.14</v>
      </c>
      <c r="S3" s="1">
        <v>18213.23</v>
      </c>
      <c r="T3" s="1">
        <f t="shared" si="3"/>
        <v>51.84670785</v>
      </c>
      <c r="U3" s="1">
        <v>54803.86</v>
      </c>
      <c r="V3" s="1">
        <v>33.23</v>
      </c>
      <c r="W3" s="1">
        <v>164.21</v>
      </c>
      <c r="X3" s="1">
        <f t="shared" si="4"/>
        <v>0.4674485468</v>
      </c>
      <c r="Y3" s="1">
        <v>2910.73</v>
      </c>
      <c r="Z3" s="1">
        <v>5.64</v>
      </c>
      <c r="AA3" s="1">
        <v>0.0</v>
      </c>
      <c r="AB3" s="1">
        <f t="shared" si="5"/>
        <v>0</v>
      </c>
      <c r="AC3" s="1">
        <v>230.34</v>
      </c>
      <c r="AD3" s="1">
        <v>0.0</v>
      </c>
      <c r="AE3" s="1">
        <v>11094.2</v>
      </c>
      <c r="AF3" s="1">
        <f t="shared" si="6"/>
        <v>31.58131458</v>
      </c>
      <c r="AG3" s="1">
        <v>79705.39</v>
      </c>
      <c r="AH3" s="1">
        <v>13.92</v>
      </c>
    </row>
    <row r="4">
      <c r="A4" s="1" t="s">
        <v>34</v>
      </c>
      <c r="B4" s="1">
        <v>2017.0</v>
      </c>
      <c r="C4" s="1">
        <v>781.0</v>
      </c>
      <c r="D4" s="1">
        <v>8.28</v>
      </c>
      <c r="E4" s="1">
        <v>1709.0</v>
      </c>
      <c r="F4" s="1">
        <v>45.7</v>
      </c>
      <c r="G4" s="1">
        <v>137817.0</v>
      </c>
      <c r="H4" s="1">
        <v>18.22</v>
      </c>
      <c r="I4" s="1">
        <v>939059.0</v>
      </c>
      <c r="J4" s="1">
        <v>14.68</v>
      </c>
      <c r="K4" s="1">
        <v>69218.03</v>
      </c>
      <c r="L4" s="1">
        <f t="shared" si="1"/>
        <v>50.22459493</v>
      </c>
      <c r="M4" s="1">
        <v>548710.99</v>
      </c>
      <c r="N4" s="1">
        <v>12.61</v>
      </c>
      <c r="O4" s="1">
        <v>36642.01</v>
      </c>
      <c r="P4" s="1">
        <f t="shared" si="2"/>
        <v>26.58743841</v>
      </c>
      <c r="Q4" s="1">
        <v>225847.34</v>
      </c>
      <c r="R4" s="1">
        <v>16.22</v>
      </c>
      <c r="S4" s="1">
        <v>30759.69</v>
      </c>
      <c r="T4" s="1">
        <f t="shared" si="3"/>
        <v>22.31922767</v>
      </c>
      <c r="U4" s="1">
        <v>151823.93</v>
      </c>
      <c r="V4" s="1">
        <v>20.26</v>
      </c>
      <c r="W4" s="1">
        <v>1076.63</v>
      </c>
      <c r="X4" s="1">
        <f t="shared" si="4"/>
        <v>0.7812026093</v>
      </c>
      <c r="Y4" s="1">
        <v>8443.98</v>
      </c>
      <c r="Z4" s="1">
        <v>12.75</v>
      </c>
      <c r="AA4" s="1">
        <v>120.6</v>
      </c>
      <c r="AB4" s="1">
        <f t="shared" si="5"/>
        <v>0.0875073467</v>
      </c>
      <c r="AC4" s="1">
        <v>4232.74</v>
      </c>
      <c r="AD4" s="1">
        <v>2.85</v>
      </c>
      <c r="AE4" s="1">
        <v>46843.81</v>
      </c>
      <c r="AF4" s="1">
        <f t="shared" si="6"/>
        <v>33.98986337</v>
      </c>
      <c r="AG4" s="1">
        <v>191045.03</v>
      </c>
      <c r="AH4" s="1">
        <v>24.52</v>
      </c>
    </row>
    <row r="5">
      <c r="A5" s="1" t="s">
        <v>34</v>
      </c>
      <c r="B5" s="1">
        <v>2018.0</v>
      </c>
      <c r="C5" s="1">
        <v>147.0</v>
      </c>
      <c r="D5" s="1">
        <v>1.56</v>
      </c>
      <c r="E5" s="1">
        <v>543.0</v>
      </c>
      <c r="F5" s="1">
        <v>27.07</v>
      </c>
      <c r="G5" s="1">
        <v>14650.0</v>
      </c>
      <c r="H5" s="1">
        <v>1.94</v>
      </c>
      <c r="I5" s="1">
        <v>110343.0</v>
      </c>
      <c r="J5" s="1">
        <v>13.28</v>
      </c>
      <c r="K5" s="1">
        <v>7418.21</v>
      </c>
      <c r="L5" s="1">
        <f t="shared" si="1"/>
        <v>50.63624573</v>
      </c>
      <c r="M5" s="1">
        <v>61096.46</v>
      </c>
      <c r="N5" s="1">
        <v>12.14</v>
      </c>
      <c r="O5" s="1">
        <v>2684.04</v>
      </c>
      <c r="P5" s="1">
        <f t="shared" si="2"/>
        <v>18.32109215</v>
      </c>
      <c r="Q5" s="1">
        <v>35909.07</v>
      </c>
      <c r="R5" s="1">
        <v>7.47</v>
      </c>
      <c r="S5" s="1">
        <v>4349.51</v>
      </c>
      <c r="T5" s="1">
        <f t="shared" si="3"/>
        <v>29.68948805</v>
      </c>
      <c r="U5" s="1">
        <v>11950.58</v>
      </c>
      <c r="V5" s="1">
        <v>36.4</v>
      </c>
      <c r="W5" s="1">
        <v>87.97</v>
      </c>
      <c r="X5" s="1">
        <f t="shared" si="4"/>
        <v>0.6004778157</v>
      </c>
      <c r="Y5" s="1">
        <v>1146.86</v>
      </c>
      <c r="Z5" s="1">
        <v>7.67</v>
      </c>
      <c r="AA5" s="1">
        <v>110.27</v>
      </c>
      <c r="AB5" s="1">
        <f t="shared" si="5"/>
        <v>0.7526962457</v>
      </c>
      <c r="AC5" s="1">
        <v>240.05</v>
      </c>
      <c r="AD5" s="1">
        <v>45.94</v>
      </c>
      <c r="AE5" s="1">
        <v>3579.38</v>
      </c>
      <c r="AF5" s="1">
        <f t="shared" si="6"/>
        <v>24.43262799</v>
      </c>
      <c r="AG5" s="1">
        <v>39845.13</v>
      </c>
      <c r="AH5" s="1">
        <v>8.98</v>
      </c>
    </row>
    <row r="6">
      <c r="A6" s="1" t="s">
        <v>34</v>
      </c>
      <c r="B6" s="1">
        <v>2019.0</v>
      </c>
      <c r="C6" s="1">
        <v>400.0</v>
      </c>
      <c r="D6" s="1">
        <v>4.24</v>
      </c>
      <c r="E6" s="1">
        <v>874.0</v>
      </c>
      <c r="F6" s="1">
        <v>45.77</v>
      </c>
      <c r="G6" s="1">
        <v>32735.0</v>
      </c>
      <c r="H6" s="1">
        <v>4.33</v>
      </c>
      <c r="I6" s="1">
        <v>137145.0</v>
      </c>
      <c r="J6" s="1">
        <v>23.87</v>
      </c>
      <c r="K6" s="1">
        <v>17277.48</v>
      </c>
      <c r="L6" s="1">
        <f t="shared" si="1"/>
        <v>52.77983809</v>
      </c>
      <c r="M6" s="1">
        <v>75855.84</v>
      </c>
      <c r="N6" s="1">
        <v>22.78</v>
      </c>
      <c r="O6" s="1">
        <v>3152.24</v>
      </c>
      <c r="P6" s="1">
        <f t="shared" si="2"/>
        <v>9.629570796</v>
      </c>
      <c r="Q6" s="1">
        <v>28372.53</v>
      </c>
      <c r="R6" s="1">
        <v>11.11</v>
      </c>
      <c r="S6" s="1">
        <v>12140.38</v>
      </c>
      <c r="T6" s="1">
        <f t="shared" si="3"/>
        <v>37.08684894</v>
      </c>
      <c r="U6" s="1">
        <v>32077.21</v>
      </c>
      <c r="V6" s="1">
        <v>37.85</v>
      </c>
      <c r="W6" s="1">
        <v>128.66</v>
      </c>
      <c r="X6" s="1">
        <f t="shared" si="4"/>
        <v>0.3930349779</v>
      </c>
      <c r="Y6" s="1">
        <v>587.19</v>
      </c>
      <c r="Z6" s="1">
        <v>21.91</v>
      </c>
      <c r="AA6" s="1">
        <v>36.28</v>
      </c>
      <c r="AB6" s="1">
        <f t="shared" si="5"/>
        <v>0.1108293875</v>
      </c>
      <c r="AC6" s="1">
        <v>252.32</v>
      </c>
      <c r="AD6" s="1">
        <v>14.38</v>
      </c>
      <c r="AE6" s="1">
        <v>8483.38</v>
      </c>
      <c r="AF6" s="1">
        <f t="shared" si="6"/>
        <v>25.91531999</v>
      </c>
      <c r="AG6" s="1">
        <v>43781.66</v>
      </c>
      <c r="AH6" s="1">
        <v>19.38</v>
      </c>
    </row>
    <row r="7">
      <c r="A7" s="1" t="s">
        <v>34</v>
      </c>
      <c r="B7" s="1">
        <v>2020.0</v>
      </c>
      <c r="C7" s="1">
        <v>1087.0</v>
      </c>
      <c r="D7" s="1">
        <v>11.52</v>
      </c>
      <c r="E7" s="1">
        <v>2319.0</v>
      </c>
      <c r="F7" s="1">
        <v>46.87</v>
      </c>
      <c r="G7" s="1">
        <v>60335.0</v>
      </c>
      <c r="H7" s="1">
        <v>7.98</v>
      </c>
      <c r="I7" s="1">
        <v>261180.0</v>
      </c>
      <c r="J7" s="1">
        <v>23.1</v>
      </c>
      <c r="K7" s="1">
        <v>30016.98</v>
      </c>
      <c r="L7" s="1">
        <f t="shared" si="1"/>
        <v>49.75052623</v>
      </c>
      <c r="M7" s="1">
        <v>163598.03</v>
      </c>
      <c r="N7" s="1">
        <v>18.35</v>
      </c>
      <c r="O7" s="1">
        <v>9222.4</v>
      </c>
      <c r="P7" s="1">
        <f t="shared" si="2"/>
        <v>15.28532361</v>
      </c>
      <c r="Q7" s="1">
        <v>45953.86</v>
      </c>
      <c r="R7" s="1">
        <v>20.07</v>
      </c>
      <c r="S7" s="1">
        <v>20567.73</v>
      </c>
      <c r="T7" s="1">
        <f t="shared" si="3"/>
        <v>34.08921853</v>
      </c>
      <c r="U7" s="1">
        <v>49718.32</v>
      </c>
      <c r="V7" s="1">
        <v>41.37</v>
      </c>
      <c r="W7" s="1">
        <v>316.24</v>
      </c>
      <c r="X7" s="1">
        <f t="shared" si="4"/>
        <v>0.5241402171</v>
      </c>
      <c r="Y7" s="1">
        <v>1211.04</v>
      </c>
      <c r="Z7" s="1">
        <v>26.11</v>
      </c>
      <c r="AA7" s="1">
        <v>211.54</v>
      </c>
      <c r="AB7" s="1">
        <f t="shared" si="5"/>
        <v>0.3506090992</v>
      </c>
      <c r="AC7" s="1">
        <v>693.8</v>
      </c>
      <c r="AD7" s="1">
        <v>30.49</v>
      </c>
      <c r="AE7" s="1">
        <v>18078.94</v>
      </c>
      <c r="AF7" s="1">
        <f t="shared" si="6"/>
        <v>29.96426618</v>
      </c>
      <c r="AG7" s="1">
        <v>88759.74</v>
      </c>
      <c r="AH7" s="1">
        <v>20.37</v>
      </c>
    </row>
    <row r="8">
      <c r="A8" s="1" t="s">
        <v>34</v>
      </c>
      <c r="B8" s="1">
        <v>2021.0</v>
      </c>
      <c r="C8" s="1">
        <v>1348.0</v>
      </c>
      <c r="D8" s="1">
        <v>14.28</v>
      </c>
      <c r="E8" s="1">
        <v>2573.0</v>
      </c>
      <c r="F8" s="1">
        <v>52.39</v>
      </c>
      <c r="G8" s="1">
        <v>157193.0</v>
      </c>
      <c r="H8" s="1">
        <v>20.78</v>
      </c>
      <c r="I8" s="1">
        <v>408352.0</v>
      </c>
      <c r="J8" s="1">
        <v>38.49</v>
      </c>
      <c r="K8" s="1">
        <v>67298.03</v>
      </c>
      <c r="L8" s="1">
        <f t="shared" si="1"/>
        <v>42.81235806</v>
      </c>
      <c r="M8" s="1">
        <v>184697.48</v>
      </c>
      <c r="N8" s="1">
        <v>36.44</v>
      </c>
      <c r="O8" s="1">
        <v>30610.87</v>
      </c>
      <c r="P8" s="1">
        <f t="shared" si="2"/>
        <v>19.47343075</v>
      </c>
      <c r="Q8" s="1">
        <v>99443.67</v>
      </c>
      <c r="R8" s="1">
        <v>30.78</v>
      </c>
      <c r="S8" s="1">
        <v>58233.24</v>
      </c>
      <c r="T8" s="1">
        <f t="shared" si="3"/>
        <v>37.04569542</v>
      </c>
      <c r="U8" s="1">
        <v>120470.85</v>
      </c>
      <c r="V8" s="1">
        <v>48.34</v>
      </c>
      <c r="W8" s="1">
        <v>432.16</v>
      </c>
      <c r="X8" s="1">
        <f t="shared" si="4"/>
        <v>0.2749231836</v>
      </c>
      <c r="Y8" s="1">
        <v>2911.69</v>
      </c>
      <c r="Z8" s="1">
        <v>14.84</v>
      </c>
      <c r="AA8" s="1">
        <v>616.68</v>
      </c>
      <c r="AB8" s="1">
        <f t="shared" si="5"/>
        <v>0.3923075455</v>
      </c>
      <c r="AC8" s="1">
        <v>790.32</v>
      </c>
      <c r="AD8" s="1">
        <v>78.03</v>
      </c>
      <c r="AE8" s="1">
        <v>34061.65</v>
      </c>
      <c r="AF8" s="1">
        <f t="shared" si="6"/>
        <v>21.66868118</v>
      </c>
      <c r="AG8" s="1">
        <v>105327.59</v>
      </c>
      <c r="AH8" s="1">
        <v>32.34</v>
      </c>
    </row>
    <row r="9">
      <c r="A9" s="1" t="s">
        <v>34</v>
      </c>
      <c r="B9" s="1">
        <v>2022.0</v>
      </c>
      <c r="C9" s="1">
        <v>1176.0</v>
      </c>
      <c r="D9" s="1">
        <v>12.46</v>
      </c>
      <c r="E9" s="1">
        <v>3482.0</v>
      </c>
      <c r="F9" s="1">
        <v>33.77</v>
      </c>
      <c r="G9" s="1">
        <v>62414.0</v>
      </c>
      <c r="H9" s="1">
        <v>8.25</v>
      </c>
      <c r="I9" s="1">
        <v>578953.0</v>
      </c>
      <c r="J9" s="1">
        <v>10.78</v>
      </c>
      <c r="K9" s="1">
        <v>30425.15</v>
      </c>
      <c r="L9" s="1">
        <f t="shared" si="1"/>
        <v>48.74731631</v>
      </c>
      <c r="M9" s="1">
        <v>321577.83</v>
      </c>
      <c r="N9" s="1">
        <v>9.46</v>
      </c>
      <c r="O9" s="1">
        <v>11084.46</v>
      </c>
      <c r="P9" s="1">
        <f t="shared" si="2"/>
        <v>17.75957317</v>
      </c>
      <c r="Q9" s="1">
        <v>155218.89</v>
      </c>
      <c r="R9" s="1">
        <v>7.14</v>
      </c>
      <c r="S9" s="1">
        <v>20490.81</v>
      </c>
      <c r="T9" s="1">
        <f t="shared" si="3"/>
        <v>32.83047073</v>
      </c>
      <c r="U9" s="1">
        <v>98060.56</v>
      </c>
      <c r="V9" s="1">
        <v>20.9</v>
      </c>
      <c r="W9" s="1">
        <v>319.69</v>
      </c>
      <c r="X9" s="1">
        <f t="shared" si="4"/>
        <v>0.5122087993</v>
      </c>
      <c r="Y9" s="1">
        <v>3514.42</v>
      </c>
      <c r="Z9" s="1">
        <v>9.1</v>
      </c>
      <c r="AA9" s="1">
        <v>90.95</v>
      </c>
      <c r="AB9" s="1">
        <f t="shared" si="5"/>
        <v>0.1457205114</v>
      </c>
      <c r="AC9" s="1">
        <v>546.34</v>
      </c>
      <c r="AD9" s="1">
        <v>16.65</v>
      </c>
      <c r="AE9" s="1">
        <v>14899.72</v>
      </c>
      <c r="AF9" s="1">
        <f t="shared" si="6"/>
        <v>23.87240042</v>
      </c>
      <c r="AG9" s="1">
        <v>215078.77</v>
      </c>
      <c r="AH9" s="1">
        <v>6.93</v>
      </c>
    </row>
    <row r="10">
      <c r="A10" s="1" t="s">
        <v>34</v>
      </c>
      <c r="B10" s="1">
        <v>2023.0</v>
      </c>
      <c r="C10" s="1">
        <v>1231.0</v>
      </c>
      <c r="D10" s="1">
        <v>13.04</v>
      </c>
      <c r="E10" s="1">
        <v>2536.0</v>
      </c>
      <c r="F10" s="1">
        <v>48.54</v>
      </c>
      <c r="G10" s="1">
        <v>105121.0</v>
      </c>
      <c r="H10" s="1">
        <v>13.9</v>
      </c>
      <c r="I10" s="1">
        <v>379530.0</v>
      </c>
      <c r="J10" s="1">
        <v>27.7</v>
      </c>
      <c r="K10" s="1">
        <v>51144.97</v>
      </c>
      <c r="L10" s="1">
        <f t="shared" si="1"/>
        <v>48.65342795</v>
      </c>
      <c r="M10" s="1">
        <v>190637.84</v>
      </c>
      <c r="N10" s="1">
        <v>26.83</v>
      </c>
      <c r="O10" s="1">
        <v>12972.93</v>
      </c>
      <c r="P10" s="1">
        <f t="shared" si="2"/>
        <v>12.34094995</v>
      </c>
      <c r="Q10" s="1">
        <v>99952.33</v>
      </c>
      <c r="R10" s="1">
        <v>12.98</v>
      </c>
      <c r="S10" s="1">
        <v>39034.26</v>
      </c>
      <c r="T10" s="1">
        <f t="shared" si="3"/>
        <v>37.1326947</v>
      </c>
      <c r="U10" s="1">
        <v>84351.33</v>
      </c>
      <c r="V10" s="1">
        <v>46.28</v>
      </c>
      <c r="W10" s="1">
        <v>1273.38</v>
      </c>
      <c r="X10" s="1">
        <f t="shared" si="4"/>
        <v>1.211346924</v>
      </c>
      <c r="Y10" s="1">
        <v>3481.82</v>
      </c>
      <c r="Z10" s="1">
        <v>36.57</v>
      </c>
      <c r="AA10" s="1">
        <v>686.44</v>
      </c>
      <c r="AB10" s="1">
        <f t="shared" si="5"/>
        <v>0.6529998763</v>
      </c>
      <c r="AC10" s="1">
        <v>1077.61</v>
      </c>
      <c r="AD10" s="1">
        <v>63.7</v>
      </c>
      <c r="AE10" s="1">
        <v>30208.82</v>
      </c>
      <c r="AF10" s="1">
        <f t="shared" si="6"/>
        <v>28.73718857</v>
      </c>
      <c r="AG10" s="1">
        <v>147135.68</v>
      </c>
      <c r="AH10" s="1">
        <v>20.53</v>
      </c>
    </row>
    <row r="11">
      <c r="A11" s="1" t="s">
        <v>34</v>
      </c>
      <c r="B11" s="1">
        <v>2024.0</v>
      </c>
      <c r="C11" s="1">
        <v>1343.0</v>
      </c>
      <c r="D11" s="1">
        <v>14.23</v>
      </c>
      <c r="E11" s="1">
        <v>3506.0</v>
      </c>
      <c r="F11" s="1">
        <v>38.31</v>
      </c>
      <c r="G11" s="1">
        <v>48831.0</v>
      </c>
      <c r="H11" s="1">
        <v>6.46</v>
      </c>
      <c r="I11" s="1">
        <v>354387.0</v>
      </c>
      <c r="J11" s="1">
        <v>13.78</v>
      </c>
      <c r="K11" s="1">
        <v>24039.03</v>
      </c>
      <c r="L11" s="1">
        <f t="shared" si="1"/>
        <v>49.22903483</v>
      </c>
      <c r="M11" s="1">
        <v>198396.75</v>
      </c>
      <c r="N11" s="1">
        <v>12.12</v>
      </c>
      <c r="O11" s="1">
        <v>8052.13</v>
      </c>
      <c r="P11" s="1">
        <f t="shared" si="2"/>
        <v>16.48979132</v>
      </c>
      <c r="Q11" s="1">
        <v>68333.95</v>
      </c>
      <c r="R11" s="1">
        <v>11.78</v>
      </c>
      <c r="S11" s="1">
        <v>16554.05</v>
      </c>
      <c r="T11" s="1">
        <f t="shared" si="3"/>
        <v>33.90069833</v>
      </c>
      <c r="U11" s="1">
        <v>84640.21</v>
      </c>
      <c r="V11" s="1">
        <v>19.56</v>
      </c>
      <c r="W11" s="1">
        <v>129.58</v>
      </c>
      <c r="X11" s="1">
        <f t="shared" si="4"/>
        <v>0.2653642154</v>
      </c>
      <c r="Y11" s="1">
        <v>2538.61</v>
      </c>
      <c r="Z11" s="1">
        <v>5.1</v>
      </c>
      <c r="AA11" s="1">
        <v>41.24</v>
      </c>
      <c r="AB11" s="1">
        <f t="shared" si="5"/>
        <v>0.08445454732</v>
      </c>
      <c r="AC11" s="1">
        <v>415.34</v>
      </c>
      <c r="AD11" s="1">
        <v>9.93</v>
      </c>
      <c r="AE11" s="1">
        <v>12841.11</v>
      </c>
      <c r="AF11" s="1">
        <f t="shared" si="6"/>
        <v>26.29704491</v>
      </c>
      <c r="AG11" s="1">
        <v>113965.91</v>
      </c>
      <c r="AH11" s="1">
        <v>11.27</v>
      </c>
    </row>
    <row r="12">
      <c r="A12" s="1" t="s">
        <v>34</v>
      </c>
      <c r="B12" s="1">
        <v>2025.0</v>
      </c>
      <c r="C12" s="1">
        <v>1717.0</v>
      </c>
      <c r="D12" s="1">
        <v>18.19</v>
      </c>
      <c r="E12" s="1">
        <v>4730.0</v>
      </c>
      <c r="F12" s="1">
        <v>36.3</v>
      </c>
      <c r="G12" s="1">
        <v>94456.0</v>
      </c>
      <c r="H12" s="1">
        <v>12.49</v>
      </c>
      <c r="I12" s="1">
        <v>904922.0</v>
      </c>
      <c r="J12" s="1">
        <v>10.44</v>
      </c>
      <c r="K12" s="1">
        <v>45781.84</v>
      </c>
      <c r="L12" s="1">
        <f t="shared" si="1"/>
        <v>48.46895909</v>
      </c>
      <c r="M12" s="1">
        <v>566477.07</v>
      </c>
      <c r="N12" s="1">
        <v>8.08</v>
      </c>
      <c r="O12" s="1">
        <v>10801.4</v>
      </c>
      <c r="P12" s="1">
        <f t="shared" si="2"/>
        <v>11.43537732</v>
      </c>
      <c r="Q12" s="1">
        <v>124786.95</v>
      </c>
      <c r="R12" s="1">
        <v>8.66</v>
      </c>
      <c r="S12" s="1">
        <v>37082.13</v>
      </c>
      <c r="T12" s="1">
        <f t="shared" si="3"/>
        <v>39.25862836</v>
      </c>
      <c r="U12" s="1">
        <v>209087.76</v>
      </c>
      <c r="V12" s="1">
        <v>17.74</v>
      </c>
      <c r="W12" s="1">
        <v>343.25</v>
      </c>
      <c r="X12" s="1">
        <f t="shared" si="4"/>
        <v>0.3633967138</v>
      </c>
      <c r="Y12" s="1">
        <v>3322.0</v>
      </c>
      <c r="Z12" s="1">
        <v>10.33</v>
      </c>
      <c r="AA12" s="1">
        <v>422.37</v>
      </c>
      <c r="AB12" s="1">
        <f t="shared" si="5"/>
        <v>0.4471605827</v>
      </c>
      <c r="AC12" s="1">
        <v>1131.23</v>
      </c>
      <c r="AD12" s="1">
        <v>37.34</v>
      </c>
      <c r="AE12" s="1">
        <v>26660.81</v>
      </c>
      <c r="AF12" s="1">
        <f t="shared" si="6"/>
        <v>28.22563945</v>
      </c>
      <c r="AG12" s="1">
        <v>308176.61</v>
      </c>
      <c r="AH12" s="1">
        <v>8.65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2026-07-24T11:30:21Z</dcterms:created>
  <dc:creator>openpyxl</dc:creator>
</cp:coreProperties>
</file>